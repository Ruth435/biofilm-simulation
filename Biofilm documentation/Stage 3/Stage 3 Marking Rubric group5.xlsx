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neDrive - University of Cape Town\Documents\Tutoring\capstone\group 5\"/>
    </mc:Choice>
  </mc:AlternateContent>
  <xr:revisionPtr revIDLastSave="0" documentId="13_ncr:1_{1D522473-AF66-4442-A09D-1DD618E242F7}" xr6:coauthVersionLast="47" xr6:coauthVersionMax="47" xr10:uidLastSave="{00000000-0000-0000-0000-000000000000}"/>
  <bookViews>
    <workbookView xWindow="-120" yWindow="-120" windowWidth="20730" windowHeight="11040" xr2:uid="{8E1A9EFE-CF17-4002-8911-F95D9FFE8D6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1" i="1" l="1"/>
  <c r="C21" i="1"/>
  <c r="C10" i="1"/>
  <c r="D10" i="1"/>
  <c r="E21" i="1"/>
</calcChain>
</file>

<file path=xl/sharedStrings.xml><?xml version="1.0" encoding="utf-8"?>
<sst xmlns="http://schemas.openxmlformats.org/spreadsheetml/2006/main" count="25" uniqueCount="20">
  <si>
    <t>Capstone Stage 3 Marking Rubric</t>
  </si>
  <si>
    <t>Description</t>
  </si>
  <si>
    <t>Total</t>
  </si>
  <si>
    <t>Mark</t>
  </si>
  <si>
    <t>Comments</t>
  </si>
  <si>
    <t>Prototype and Demo</t>
  </si>
  <si>
    <t>Progress Reports: Stage 2&amp;3</t>
  </si>
  <si>
    <t>Possible</t>
  </si>
  <si>
    <r>
      <rPr>
        <b/>
        <sz val="11"/>
        <color theme="1"/>
        <rFont val="Calibri"/>
        <family val="2"/>
        <scheme val="minor"/>
      </rPr>
      <t>Structure</t>
    </r>
    <r>
      <rPr>
        <sz val="11"/>
        <color theme="1"/>
        <rFont val="Calibri"/>
        <family val="2"/>
        <scheme val="minor"/>
      </rPr>
      <t xml:space="preserve">
1 pt if it includes the required sections (Task Activities, Planned Activities, and Problems) and other required info (date, report period, project and client details, names of team members)</t>
    </r>
  </si>
  <si>
    <r>
      <rPr>
        <b/>
        <sz val="11"/>
        <color theme="1"/>
        <rFont val="Calibri"/>
        <family val="2"/>
        <scheme val="minor"/>
      </rPr>
      <t>Stage 2: Planned Activities (i.e. demo and class specs)</t>
    </r>
    <r>
      <rPr>
        <sz val="11"/>
        <color theme="1"/>
        <rFont val="Calibri"/>
        <family val="2"/>
        <scheme val="minor"/>
      </rPr>
      <t xml:space="preserve">
0 if missing
1 if incomplete or vague, only lists capstone deliverables and is not specific to the project
2 if it gives a complete picture of planned activities specific to project</t>
    </r>
  </si>
  <si>
    <r>
      <t xml:space="preserve">Stage 3: Planned Activities (i.e. features to be delivered in next week)
</t>
    </r>
    <r>
      <rPr>
        <sz val="11"/>
        <color theme="1"/>
        <rFont val="Calibri"/>
        <family val="2"/>
        <scheme val="minor"/>
      </rPr>
      <t>0 if missing
1 if incomplete or vague, only lists capstone deliverables and is not specific to the project
2 if it gives a complete picture of planned activities specific to project</t>
    </r>
  </si>
  <si>
    <r>
      <rPr>
        <b/>
        <sz val="11"/>
        <color theme="1"/>
        <rFont val="Calibri"/>
        <family val="2"/>
        <scheme val="minor"/>
      </rPr>
      <t>Stage 2: Task Activities (i.e. analysis, preliminary testing, and project plan)</t>
    </r>
    <r>
      <rPr>
        <sz val="11"/>
        <color theme="1"/>
        <rFont val="Calibri"/>
        <family val="2"/>
        <scheme val="minor"/>
      </rPr>
      <t xml:space="preserve">
0 if missing
1 if incomplete or vague, only lists capstone deliverables and is not specific to the project
2 if it gives a complete picture of executed activities specific to project</t>
    </r>
  </si>
  <si>
    <r>
      <t xml:space="preserve">Stage 3: Task Activities (i.e. demo and class specs)
</t>
    </r>
    <r>
      <rPr>
        <sz val="11"/>
        <color theme="1"/>
        <rFont val="Calibri"/>
        <family val="2"/>
        <scheme val="minor"/>
      </rPr>
      <t>0 if missing
1 if incomplete or vague, only lists capstone deliverables and is not specific to the project (this should be the client's demo expectations)
2 if it gives a complete picture of executed activities specific to project</t>
    </r>
  </si>
  <si>
    <r>
      <t xml:space="preserve">Stage 2: Problems and Revised Schedule
</t>
    </r>
    <r>
      <rPr>
        <sz val="11"/>
        <color theme="1"/>
        <rFont val="Calibri"/>
        <family val="2"/>
        <scheme val="minor"/>
      </rPr>
      <t>0 if missing
1 if incomplete or vague
2 May be clearly missing obvious problems encountered, or the listed problems are not sufficiently documented (unclear, missing actions taken to resolve problems). Or all key problems identified but revised schedule and goals does not address problems or is unrealistic.
3 Clearly outlines key problems (e.g. platform difficulties, sick team members) and proposes revised schedule realistically accounts for problems and project requirements. Should include a report on resolved problems and plans for resolution. Can report no problems but only if task activities matches</t>
    </r>
    <r>
      <rPr>
        <b/>
        <sz val="11"/>
        <color theme="1"/>
        <rFont val="Calibri"/>
        <family val="2"/>
        <scheme val="minor"/>
      </rPr>
      <t xml:space="preserve"> </t>
    </r>
    <r>
      <rPr>
        <sz val="11"/>
        <color theme="1"/>
        <rFont val="Calibri"/>
        <family val="2"/>
        <scheme val="minor"/>
      </rPr>
      <t>previous week plan, and the client meeting was really successful.</t>
    </r>
  </si>
  <si>
    <r>
      <t xml:space="preserve">Stage 3: Problems and Revised Schedule
</t>
    </r>
    <r>
      <rPr>
        <sz val="11"/>
        <color theme="1"/>
        <rFont val="Calibri"/>
        <family val="2"/>
        <scheme val="minor"/>
      </rPr>
      <t>0 if missing
1 if incomplete or vague
2 May be clearly missing obvious problems encountered, or the listed problems are not sufficiently documented (unclear, missing actions taken to resolve problems). Or all key problems identified but revised schedule and goals does not address problems or is unrealistic.
3 Clearly outlines key problems (e.g. platform difficulties, sick team members) and proposes revised schedule realistically accounts for problems and project requirements. Should include a report on resolved problems and plans for resolution. Can report no problems but only if task activities matches previous week plan, and the client meeting was really successful.</t>
    </r>
  </si>
  <si>
    <r>
      <rPr>
        <b/>
        <sz val="12"/>
        <rFont val="Calibri"/>
        <family val="2"/>
        <scheme val="minor"/>
      </rPr>
      <t>Scope</t>
    </r>
    <r>
      <rPr>
        <sz val="12"/>
        <rFont val="Calibri"/>
        <family val="2"/>
        <scheme val="minor"/>
      </rPr>
      <t xml:space="preserve">
0-1 Demo was inadequate or failed to show progress. Note that negative feedback from client does not necessarily mean the demo was inadequate.
2-3 If vertical, achieved drill down to depth at least one area, may be missing key elements to be truly vertical. If horizonal, achieved some breadth but may have been missing some key elements to be truly horizontal.
4-5 Fully horizontal or vertical - demo gave the client a strong horizontal or vertical understanding of what the team will be implement and prompted constructive feedback.</t>
    </r>
  </si>
  <si>
    <r>
      <rPr>
        <b/>
        <sz val="11"/>
        <rFont val="Calibri"/>
        <family val="2"/>
        <scheme val="minor"/>
      </rPr>
      <t>Class inheritance</t>
    </r>
    <r>
      <rPr>
        <sz val="11"/>
        <rFont val="Calibri"/>
        <family val="2"/>
        <scheme val="minor"/>
      </rPr>
      <t xml:space="preserve">
0-1 No evidence of inheritance or incomplete answer
2-3 Inheritance present but not sensible
4-5 Logical inheritance structure demonstrating grasp of OOP</t>
    </r>
  </si>
  <si>
    <r>
      <rPr>
        <b/>
        <sz val="11"/>
        <rFont val="Calibri"/>
        <family val="2"/>
        <scheme val="minor"/>
      </rPr>
      <t>Class member functions</t>
    </r>
    <r>
      <rPr>
        <sz val="11"/>
        <rFont val="Calibri"/>
        <family val="2"/>
        <scheme val="minor"/>
      </rPr>
      <t xml:space="preserve">
0-1 No answer or incomplete answer
2-3 Member functions documented but incomplete
4-5 Member functions well documented and mostly complete</t>
    </r>
  </si>
  <si>
    <r>
      <rPr>
        <b/>
        <sz val="11"/>
        <rFont val="Calibri"/>
        <family val="2"/>
        <scheme val="minor"/>
      </rPr>
      <t>Class definitions (at least 3)</t>
    </r>
    <r>
      <rPr>
        <sz val="11"/>
        <rFont val="Calibri"/>
        <family val="2"/>
        <scheme val="minor"/>
      </rPr>
      <t xml:space="preserve">
0-1 No answer or incomplete answer
2-3 Only 2 complete definitions given, may have some inaccuracies
4-5 At least three complete class definitions</t>
    </r>
  </si>
  <si>
    <r>
      <rPr>
        <b/>
        <sz val="11"/>
        <rFont val="Calibri"/>
        <family val="2"/>
        <scheme val="minor"/>
      </rPr>
      <t>Statement and justification of choice of prototype</t>
    </r>
    <r>
      <rPr>
        <sz val="11"/>
        <rFont val="Calibri"/>
        <family val="2"/>
        <scheme val="minor"/>
      </rPr>
      <t xml:space="preserve"> (horizontal/vertical/combination) and throwaway or evolutionary
0-1 No answer or vague answer
2-3 Stages choice of prototype (h/v and t/e) but does not justify choice
4-5 Clear and sensible justification of choice of prototype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</si>
</sst>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2"/>
      <color rgb="FF000000"/>
      <name val="Calibri"/>
      <family val="2"/>
      <scheme val="minor"/>
    </font>
    <font>
      <sz val="11"/>
      <name val="Calibri"/>
      <family val="2"/>
      <scheme val="minor"/>
    </font>
    <font>
      <sz val="12"/>
      <name val="Calibri"/>
      <family val="2"/>
      <scheme val="minor"/>
    </font>
    <font>
      <b/>
      <sz val="12"/>
      <color rgb="FF000000"/>
      <name val="Calibri"/>
      <family val="2"/>
      <scheme val="minor"/>
    </font>
    <font>
      <b/>
      <sz val="11"/>
      <name val="Calibri"/>
      <family val="2"/>
      <scheme val="minor"/>
    </font>
    <font>
      <b/>
      <sz val="12"/>
      <name val="Calibri"/>
      <family val="2"/>
      <scheme val="minor"/>
    </font>
    <font>
      <i/>
      <sz val="11"/>
      <name val="Calibri"/>
      <family val="2"/>
      <scheme val="minor"/>
    </font>
    <font>
      <i/>
      <sz val="12"/>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wrapText="1"/>
    </xf>
    <xf numFmtId="0" fontId="2" fillId="0" borderId="0" xfId="0" applyFont="1"/>
    <xf numFmtId="0" fontId="5" fillId="0" borderId="0" xfId="0" applyFont="1" applyAlignment="1">
      <alignment wrapText="1"/>
    </xf>
    <xf numFmtId="0" fontId="3" fillId="0" borderId="0" xfId="0" applyFont="1" applyAlignment="1">
      <alignment vertical="top"/>
    </xf>
    <xf numFmtId="0" fontId="3" fillId="0" borderId="0" xfId="0" applyFont="1" applyAlignment="1">
      <alignment vertical="top" wrapText="1"/>
    </xf>
    <xf numFmtId="0" fontId="4" fillId="0" borderId="0" xfId="0" applyFont="1" applyAlignment="1">
      <alignment vertical="top" wrapText="1"/>
    </xf>
    <xf numFmtId="0" fontId="8" fillId="0" borderId="0" xfId="0" applyFont="1" applyAlignment="1">
      <alignment vertical="top"/>
    </xf>
    <xf numFmtId="0" fontId="9" fillId="0" borderId="0" xfId="0" applyFont="1" applyAlignment="1">
      <alignment vertical="top"/>
    </xf>
    <xf numFmtId="0" fontId="0" fillId="0" borderId="0" xfId="0" applyAlignment="1">
      <alignment vertical="top" wrapText="1"/>
    </xf>
    <xf numFmtId="0" fontId="2" fillId="0" borderId="0" xfId="0" applyFont="1" applyAlignment="1">
      <alignment vertical="top"/>
    </xf>
    <xf numFmtId="0" fontId="0" fillId="0" borderId="0" xfId="0" applyAlignment="1">
      <alignment vertical="top"/>
    </xf>
    <xf numFmtId="0" fontId="1" fillId="0" borderId="0" xfId="0" applyFont="1" applyAlignment="1">
      <alignment vertical="top" wrapText="1"/>
    </xf>
    <xf numFmtId="0" fontId="10" fillId="0" borderId="0" xfId="0" applyFont="1"/>
  </cellXfs>
  <cellStyles count="1">
    <cellStyle name="Normal" xfId="0" builtinId="0"/>
  </cellStyles>
  <dxfs count="18">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strike val="0"/>
        <condense val="0"/>
        <extend val="0"/>
        <outline val="0"/>
        <shadow val="0"/>
        <u val="none"/>
        <vertAlign val="baseline"/>
        <sz val="12"/>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strike val="0"/>
        <condense val="0"/>
        <extend val="0"/>
        <outline val="0"/>
        <shadow val="0"/>
        <u val="none"/>
        <vertAlign val="baseline"/>
        <sz val="12"/>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96E2A5-B288-4291-A236-5428489AEE09}" name="Table2" displayName="Table2" ref="B4:E10" totalsRowCount="1" headerRowDxfId="17" dataDxfId="16">
  <autoFilter ref="B4:E9" xr:uid="{4896E2A5-B288-4291-A236-5428489AEE09}"/>
  <tableColumns count="4">
    <tableColumn id="1" xr3:uid="{3147BF28-9910-4826-87ED-28137490F70E}" name="Description" totalsRowLabel="Total" dataDxfId="15" totalsRowDxfId="7"/>
    <tableColumn id="2" xr3:uid="{E7C0F776-D258-4EFC-8C99-CAAF98AE807A}" name="Possible" totalsRowFunction="sum" dataDxfId="14" totalsRowDxfId="6"/>
    <tableColumn id="3" xr3:uid="{B7F823CD-861E-4FC3-8680-F55D311D58C5}" name="Mark" totalsRowFunction="sum" dataDxfId="13" totalsRowDxfId="5"/>
    <tableColumn id="4" xr3:uid="{CA72969C-7B62-440E-994D-3B53DFDD4901}" name="Comments" dataDxfId="12" totalsRowDxfId="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9EFE16-7064-4DBD-BC19-91AC658B0AE6}" name="Table3" displayName="Table3" ref="B13:E21" totalsRowCount="1">
  <autoFilter ref="B13:E20" xr:uid="{F29EFE16-7064-4DBD-BC19-91AC658B0AE6}"/>
  <tableColumns count="4">
    <tableColumn id="1" xr3:uid="{DF174950-F235-41BE-A03C-4323ACDACCDE}" name="Description" totalsRowLabel="Total" dataDxfId="11" totalsRowDxfId="3"/>
    <tableColumn id="2" xr3:uid="{1689CD47-C235-4344-9CF0-AFA77B0E3CB8}" name="Possible" totalsRowFunction="sum" dataDxfId="10" totalsRowDxfId="2"/>
    <tableColumn id="3" xr3:uid="{B5F583EB-FFF1-4A05-87B8-4B732D0E9BDE}" name="Mark" totalsRowFunction="sum" dataDxfId="9" totalsRowDxfId="1"/>
    <tableColumn id="4" xr3:uid="{208EB691-67F2-4733-8207-35531CEC0D3B}" name="Comments" totalsRowFunction="count" dataDxfId="8" totalsRowDxfId="0"/>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F51FE-1BE2-4C86-B5A2-2D518DEDDE21}">
  <dimension ref="A1:E21"/>
  <sheetViews>
    <sheetView tabSelected="1" workbookViewId="0">
      <selection activeCell="I16" sqref="I16"/>
    </sheetView>
  </sheetViews>
  <sheetFormatPr defaultRowHeight="15" x14ac:dyDescent="0.25"/>
  <cols>
    <col min="2" max="2" width="66.85546875" customWidth="1"/>
    <col min="5" max="5" width="12.7109375" customWidth="1"/>
  </cols>
  <sheetData>
    <row r="1" spans="1:5" x14ac:dyDescent="0.25">
      <c r="A1" t="s">
        <v>0</v>
      </c>
    </row>
    <row r="3" spans="1:5" ht="15.75" x14ac:dyDescent="0.25">
      <c r="B3" s="13" t="s">
        <v>5</v>
      </c>
    </row>
    <row r="4" spans="1:5" x14ac:dyDescent="0.25">
      <c r="B4" s="4" t="s">
        <v>1</v>
      </c>
      <c r="C4" s="7" t="s">
        <v>7</v>
      </c>
      <c r="D4" s="4" t="s">
        <v>3</v>
      </c>
      <c r="E4" s="4" t="s">
        <v>4</v>
      </c>
    </row>
    <row r="5" spans="1:5" ht="75" x14ac:dyDescent="0.25">
      <c r="B5" s="5" t="s">
        <v>19</v>
      </c>
      <c r="C5" s="8">
        <v>5</v>
      </c>
      <c r="D5" s="4">
        <v>5</v>
      </c>
      <c r="E5" s="4"/>
    </row>
    <row r="6" spans="1:5" ht="60" x14ac:dyDescent="0.25">
      <c r="B6" s="5" t="s">
        <v>18</v>
      </c>
      <c r="C6" s="8">
        <v>5</v>
      </c>
      <c r="D6" s="4">
        <v>5</v>
      </c>
      <c r="E6" s="4"/>
    </row>
    <row r="7" spans="1:5" ht="60" x14ac:dyDescent="0.25">
      <c r="B7" s="5" t="s">
        <v>17</v>
      </c>
      <c r="C7" s="8">
        <v>5</v>
      </c>
      <c r="D7" s="4">
        <v>5</v>
      </c>
      <c r="E7" s="4"/>
    </row>
    <row r="8" spans="1:5" ht="60" x14ac:dyDescent="0.25">
      <c r="B8" s="5" t="s">
        <v>16</v>
      </c>
      <c r="C8" s="8">
        <v>5</v>
      </c>
      <c r="D8" s="4">
        <v>4</v>
      </c>
      <c r="E8" s="4"/>
    </row>
    <row r="9" spans="1:5" ht="173.25" x14ac:dyDescent="0.25">
      <c r="B9" s="6" t="s">
        <v>15</v>
      </c>
      <c r="C9" s="8">
        <v>5</v>
      </c>
      <c r="D9" s="4">
        <v>4</v>
      </c>
      <c r="E9" s="4"/>
    </row>
    <row r="10" spans="1:5" ht="15.75" x14ac:dyDescent="0.25">
      <c r="B10" s="4" t="s">
        <v>2</v>
      </c>
      <c r="C10" s="8">
        <f>SUBTOTAL(109,Table2[Possible])</f>
        <v>25</v>
      </c>
      <c r="D10" s="4">
        <f>SUBTOTAL(109,Table2[Mark])</f>
        <v>23</v>
      </c>
      <c r="E10" s="4"/>
    </row>
    <row r="11" spans="1:5" ht="15.75" x14ac:dyDescent="0.25">
      <c r="B11" s="1"/>
      <c r="C11" s="2"/>
    </row>
    <row r="12" spans="1:5" ht="15.75" x14ac:dyDescent="0.25">
      <c r="B12" s="3" t="s">
        <v>6</v>
      </c>
      <c r="C12" s="2"/>
    </row>
    <row r="13" spans="1:5" x14ac:dyDescent="0.25">
      <c r="B13" t="s">
        <v>1</v>
      </c>
      <c r="C13" t="s">
        <v>7</v>
      </c>
      <c r="D13" t="s">
        <v>3</v>
      </c>
      <c r="E13" t="s">
        <v>4</v>
      </c>
    </row>
    <row r="14" spans="1:5" ht="60" x14ac:dyDescent="0.25">
      <c r="B14" s="9" t="s">
        <v>8</v>
      </c>
      <c r="C14" s="10">
        <v>1</v>
      </c>
      <c r="D14" s="11">
        <v>1</v>
      </c>
      <c r="E14" s="11"/>
    </row>
    <row r="15" spans="1:5" ht="90" x14ac:dyDescent="0.25">
      <c r="B15" s="9" t="s">
        <v>11</v>
      </c>
      <c r="C15" s="11">
        <v>2</v>
      </c>
      <c r="D15" s="11">
        <v>1</v>
      </c>
      <c r="E15" s="11"/>
    </row>
    <row r="16" spans="1:5" ht="75" x14ac:dyDescent="0.25">
      <c r="B16" s="9" t="s">
        <v>9</v>
      </c>
      <c r="C16" s="11">
        <v>2</v>
      </c>
      <c r="D16" s="11">
        <v>2</v>
      </c>
      <c r="E16" s="11"/>
    </row>
    <row r="17" spans="2:5" ht="195" x14ac:dyDescent="0.25">
      <c r="B17" s="12" t="s">
        <v>13</v>
      </c>
      <c r="C17" s="11">
        <v>3</v>
      </c>
      <c r="D17" s="11">
        <v>3</v>
      </c>
      <c r="E17" s="11"/>
    </row>
    <row r="18" spans="2:5" ht="75" x14ac:dyDescent="0.25">
      <c r="B18" s="12" t="s">
        <v>12</v>
      </c>
      <c r="C18" s="11">
        <v>2</v>
      </c>
      <c r="D18" s="11">
        <v>2</v>
      </c>
      <c r="E18" s="11"/>
    </row>
    <row r="19" spans="2:5" ht="75" x14ac:dyDescent="0.25">
      <c r="B19" s="12" t="s">
        <v>10</v>
      </c>
      <c r="C19" s="11">
        <v>2</v>
      </c>
      <c r="D19" s="11">
        <v>2</v>
      </c>
      <c r="E19" s="11"/>
    </row>
    <row r="20" spans="2:5" ht="195" x14ac:dyDescent="0.25">
      <c r="B20" s="12" t="s">
        <v>14</v>
      </c>
      <c r="C20" s="11">
        <v>3</v>
      </c>
      <c r="D20" s="11">
        <v>3</v>
      </c>
      <c r="E20" s="11"/>
    </row>
    <row r="21" spans="2:5" x14ac:dyDescent="0.25">
      <c r="B21" s="11" t="s">
        <v>2</v>
      </c>
      <c r="C21" s="11">
        <f>SUBTOTAL(109,Table3[Possible])</f>
        <v>15</v>
      </c>
      <c r="D21" s="11">
        <f>SUBTOTAL(109,Table3[Mark])</f>
        <v>14</v>
      </c>
      <c r="E21" s="11">
        <f>SUBTOTAL(103,Table3[Comments])</f>
        <v>0</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1176BB098A264FBBD326F6ED0CF02A" ma:contentTypeVersion="8" ma:contentTypeDescription="Create a new document." ma:contentTypeScope="" ma:versionID="974806753b07ca5985a555a65f4dfed8">
  <xsd:schema xmlns:xsd="http://www.w3.org/2001/XMLSchema" xmlns:xs="http://www.w3.org/2001/XMLSchema" xmlns:p="http://schemas.microsoft.com/office/2006/metadata/properties" xmlns:ns2="e3002af3-abb9-49d2-b4e5-779af3e07614" xmlns:ns3="62dc5352-f916-49e5-b3f0-d021e3c1b2be" targetNamespace="http://schemas.microsoft.com/office/2006/metadata/properties" ma:root="true" ma:fieldsID="aebfe7932cb09f3122d5ca51fdede004" ns2:_="" ns3:_="">
    <xsd:import namespace="e3002af3-abb9-49d2-b4e5-779af3e07614"/>
    <xsd:import namespace="62dc5352-f916-49e5-b3f0-d021e3c1b2b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02af3-abb9-49d2-b4e5-779af3e0761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2dc5352-f916-49e5-b3f0-d021e3c1b2b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D3608D0-15B3-4A2C-919A-3942A8978B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002af3-abb9-49d2-b4e5-779af3e07614"/>
    <ds:schemaRef ds:uri="62dc5352-f916-49e5-b3f0-d021e3c1b2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E91156-2252-4921-B732-3096920472EE}">
  <ds:schemaRefs>
    <ds:schemaRef ds:uri="http://schemas.microsoft.com/sharepoint/v3/contenttype/forms"/>
  </ds:schemaRefs>
</ds:datastoreItem>
</file>

<file path=customXml/itemProps3.xml><?xml version="1.0" encoding="utf-8"?>
<ds:datastoreItem xmlns:ds="http://schemas.openxmlformats.org/officeDocument/2006/customXml" ds:itemID="{6D4553F7-60D3-4EB6-BF0A-B24EA7D3581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Densmore</dc:creator>
  <cp:lastModifiedBy>Aidan Ravenscroft</cp:lastModifiedBy>
  <dcterms:created xsi:type="dcterms:W3CDTF">2021-08-27T08:19:13Z</dcterms:created>
  <dcterms:modified xsi:type="dcterms:W3CDTF">2025-08-28T09:43:38Z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0x010100F41176BB098A264FBBD326F6ED0CF02A</vt:lpwstr>
  </property>
</Properties>
</file>