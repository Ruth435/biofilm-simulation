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User\OneDrive - University of Cape Town\Documents\Tutoring\capstone\group 5\"/>
    </mc:Choice>
  </mc:AlternateContent>
  <xr:revisionPtr revIDLastSave="0" documentId="13_ncr:1_{456541E0-FACA-4DCC-90F0-0BB3E61396CE}" xr6:coauthVersionLast="47" xr6:coauthVersionMax="47" xr10:uidLastSave="{00000000-0000-0000-0000-000000000000}"/>
  <bookViews>
    <workbookView xWindow="-120" yWindow="-120" windowWidth="20730" windowHeight="11040" xr2:uid="{8E1A9EFE-CF17-4002-8911-F95D9FFE8D6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8" i="1" l="1"/>
  <c r="D29" i="1"/>
  <c r="D17" i="1"/>
  <c r="D10" i="1"/>
  <c r="C3" i="1"/>
  <c r="C38" i="1"/>
  <c r="C29" i="1"/>
  <c r="D23" i="1"/>
  <c r="C23" i="1"/>
  <c r="C17" i="1"/>
  <c r="D3" i="1" l="1"/>
  <c r="C10" i="1"/>
</calcChain>
</file>

<file path=xl/sharedStrings.xml><?xml version="1.0" encoding="utf-8"?>
<sst xmlns="http://schemas.openxmlformats.org/spreadsheetml/2006/main" count="47" uniqueCount="27">
  <si>
    <t>Description</t>
  </si>
  <si>
    <t>Total</t>
  </si>
  <si>
    <t>Mark</t>
  </si>
  <si>
    <t>Comments</t>
  </si>
  <si>
    <t>Possible</t>
  </si>
  <si>
    <t>Capstone Stage 2 Marking Rubric</t>
  </si>
  <si>
    <t>Use Cases</t>
  </si>
  <si>
    <r>
      <rPr>
        <b/>
        <sz val="11"/>
        <rFont val="Calibri"/>
        <family val="2"/>
        <scheme val="minor"/>
      </rPr>
      <t>Coverage</t>
    </r>
    <r>
      <rPr>
        <sz val="11"/>
        <rFont val="Calibri"/>
        <family val="2"/>
        <scheme val="minor"/>
      </rPr>
      <t xml:space="preserve">
0-1 – Use cases only over some of the identified goals from stage 1
2 – Use cases cover most of the identified goals from stage 1, but may be lacking in terms of broadly representing the use cases of the software to be developed
3 – Use cases cover all of the goals for the project4-5 Clear and sensible justification of choice of prototype</t>
    </r>
  </si>
  <si>
    <r>
      <rPr>
        <b/>
        <sz val="11"/>
        <rFont val="Calibri"/>
        <family val="2"/>
        <scheme val="minor"/>
      </rPr>
      <t>Alternate Paths</t>
    </r>
    <r>
      <rPr>
        <sz val="11"/>
        <rFont val="Calibri"/>
        <family val="2"/>
        <scheme val="minor"/>
      </rPr>
      <t xml:space="preserve">
0 – No alternate paths explored
1 – Only some alternate paths covered
2 – Thorough specification of alternate paths, demonstrating understanding of alternate paths</t>
    </r>
  </si>
  <si>
    <r>
      <rPr>
        <b/>
        <sz val="11"/>
        <rFont val="Calibri"/>
        <family val="2"/>
        <scheme val="minor"/>
      </rPr>
      <t>Style</t>
    </r>
    <r>
      <rPr>
        <sz val="11"/>
        <rFont val="Calibri"/>
        <family val="2"/>
        <scheme val="minor"/>
      </rPr>
      <t xml:space="preserve">
Looking for each use case to have title, list of actors, and a few paras describing what happens in the use case.
0-2 – use cases are missing key information or not formatted correctly
3 – use cases are missing title and/or list of actors, but have descriptions, which may be insufficient or badly formatted
4 – use cases are well-specified by may contain too much or incorrect details
5 – use cases are correctly specified for the context</t>
    </r>
  </si>
  <si>
    <t>Analysis Class Model</t>
  </si>
  <si>
    <r>
      <rPr>
        <b/>
        <sz val="11"/>
        <rFont val="Calibri"/>
        <family val="2"/>
        <scheme val="minor"/>
      </rPr>
      <t>Cardinality/Relationship Specification</t>
    </r>
    <r>
      <rPr>
        <sz val="11"/>
        <rFont val="Calibri"/>
        <family val="2"/>
        <scheme val="minor"/>
      </rPr>
      <t xml:space="preserve">
Looking for correct specification and notation
0 – no relationships specified
1 – relationships specified but notation is incorrect or specification is incorrect with major errors
2 – relationships are specified but notation is not correct or minor errors
3 – no errors</t>
    </r>
  </si>
  <si>
    <r>
      <rPr>
        <b/>
        <sz val="11"/>
        <rFont val="Calibri"/>
        <family val="2"/>
        <scheme val="minor"/>
      </rPr>
      <t>Inheritance Specification</t>
    </r>
    <r>
      <rPr>
        <sz val="11"/>
        <rFont val="Calibri"/>
        <family val="2"/>
        <scheme val="minor"/>
      </rPr>
      <t xml:space="preserve">
Looking for correct specification and notation of inheritance
0 – no inheritance specified
1 – inheritance specified but notation is incorrect, or inheritance relationships are incorrect
2 -  inheritance largely specific correctly but problems with notation
3  - no errors</t>
    </r>
  </si>
  <si>
    <r>
      <rPr>
        <b/>
        <sz val="11"/>
        <rFont val="Calibri"/>
        <family val="2"/>
        <scheme val="minor"/>
      </rPr>
      <t>Coverage</t>
    </r>
    <r>
      <rPr>
        <sz val="11"/>
        <rFont val="Calibri"/>
        <family val="2"/>
        <scheme val="minor"/>
      </rPr>
      <t xml:space="preserve">
Looking for coverage and format of the individual classes. Class should include name, attributes, and operations/methods (rectangle class diagram)
0 – no classes specified
1-2 – some classes specified but missing key elements of the system, or key elements of the class specification
3 – all classes specified, with minor errors in formatting or missing details about the classes, correct use of rectangle class format
4 – all classes specified, no errors</t>
    </r>
  </si>
  <si>
    <t>Interaction Diagram or State Diagram</t>
  </si>
  <si>
    <r>
      <rPr>
        <b/>
        <sz val="11"/>
        <rFont val="Calibri"/>
        <family val="2"/>
        <scheme val="minor"/>
      </rPr>
      <t>Content</t>
    </r>
    <r>
      <rPr>
        <sz val="11"/>
        <rFont val="Calibri"/>
        <family val="2"/>
        <scheme val="minor"/>
      </rPr>
      <t xml:space="preserve">
0-2 – System interactions are only partially represented
3-4 – Key system interactions are captured, with some errors in representation
5-6 – All system interactions are captured correctly</t>
    </r>
  </si>
  <si>
    <r>
      <rPr>
        <b/>
        <sz val="11"/>
        <rFont val="Calibri"/>
        <family val="2"/>
        <scheme val="minor"/>
      </rPr>
      <t>Style</t>
    </r>
    <r>
      <rPr>
        <sz val="11"/>
        <rFont val="Calibri"/>
        <family val="2"/>
        <scheme val="minor"/>
      </rPr>
      <t xml:space="preserve">
0 – Formal notation (sequence, communication or state) not used
1-2 – Attempt at use of formal notation but major errors or mixing of notation, diagram may lack clarity
3 – Minor errors in notation
4 – no errors</t>
    </r>
  </si>
  <si>
    <t>Project Plan</t>
  </si>
  <si>
    <r>
      <rPr>
        <b/>
        <sz val="11"/>
        <rFont val="Calibri"/>
        <family val="2"/>
        <scheme val="minor"/>
      </rPr>
      <t>Decomposition and Duration</t>
    </r>
    <r>
      <rPr>
        <sz val="11"/>
        <rFont val="Calibri"/>
        <family val="2"/>
        <scheme val="minor"/>
      </rPr>
      <t xml:space="preserve">
0 – only capstone milestones specified, or less
1-2 – High-level tasks specified but each taking 5 days or more (i.e. needs more granularity)
3-4 – Good granularity of tasks, with clear dependencies
5 – Clearly articulated and realistic plan</t>
    </r>
  </si>
  <si>
    <t>Total Mark</t>
  </si>
  <si>
    <r>
      <rPr>
        <b/>
        <sz val="11"/>
        <rFont val="Calibri"/>
        <family val="2"/>
        <scheme val="minor"/>
      </rPr>
      <t>Style</t>
    </r>
    <r>
      <rPr>
        <sz val="11"/>
        <rFont val="Calibri"/>
        <family val="2"/>
        <scheme val="minor"/>
      </rPr>
      <t xml:space="preserve">
Looking for correct use of Gantt chart, with start date, duration, end date, and responsible person for each task, as well as dependencies outlined. Chart should be readable, and include all capstone milestones as well as the tasks.
0 – formal notation/gantt chart not used correctly
1-2 – Missing one of the key components or dependencies not specified
3-4 – Clear specification of tasks using Gantt chart notation, minor errors or missing data may be present.  Dependencies specified but may not be resolved
5 no errors</t>
    </r>
  </si>
  <si>
    <t>Test Plan</t>
  </si>
  <si>
    <r>
      <rPr>
        <b/>
        <sz val="11"/>
        <rFont val="Calibri"/>
        <family val="2"/>
        <scheme val="minor"/>
      </rPr>
      <t>Test Case 1</t>
    </r>
    <r>
      <rPr>
        <sz val="11"/>
        <rFont val="Calibri"/>
        <family val="2"/>
        <scheme val="minor"/>
      </rPr>
      <t xml:space="preserve">
0 – no case specified
1 – partial specification, or case is not significant
2 – well specified and significant test case.</t>
    </r>
  </si>
  <si>
    <r>
      <rPr>
        <b/>
        <sz val="11"/>
        <rFont val="Calibri"/>
        <family val="2"/>
        <scheme val="minor"/>
      </rPr>
      <t>Test Case 2</t>
    </r>
    <r>
      <rPr>
        <sz val="11"/>
        <rFont val="Calibri"/>
        <family val="2"/>
        <scheme val="minor"/>
      </rPr>
      <t xml:space="preserve">
0 – no case specified
1 – partial specification, or case is not significant
2 – well specified and significant test case.</t>
    </r>
  </si>
  <si>
    <r>
      <rPr>
        <b/>
        <sz val="11"/>
        <rFont val="Calibri"/>
        <family val="2"/>
        <scheme val="minor"/>
      </rPr>
      <t>Test Case 3</t>
    </r>
    <r>
      <rPr>
        <sz val="11"/>
        <rFont val="Calibri"/>
        <family val="2"/>
        <scheme val="minor"/>
      </rPr>
      <t xml:space="preserve">
0 – no case specified
1 – partial specification, or case is not significant
2 – well specified and significant test case.</t>
    </r>
  </si>
  <si>
    <r>
      <rPr>
        <b/>
        <sz val="11"/>
        <rFont val="Calibri"/>
        <family val="2"/>
        <scheme val="minor"/>
      </rPr>
      <t>Test Case 4</t>
    </r>
    <r>
      <rPr>
        <sz val="11"/>
        <rFont val="Calibri"/>
        <family val="2"/>
        <scheme val="minor"/>
      </rPr>
      <t xml:space="preserve">
0 – no case specified
1 – partial specification, or case is not significant
2 – well specified and significant test case.</t>
    </r>
  </si>
  <si>
    <r>
      <rPr>
        <b/>
        <sz val="11"/>
        <rFont val="Calibri"/>
        <family val="2"/>
        <scheme val="minor"/>
      </rPr>
      <t>Test Case 5</t>
    </r>
    <r>
      <rPr>
        <sz val="11"/>
        <rFont val="Calibri"/>
        <family val="2"/>
        <scheme val="minor"/>
      </rPr>
      <t xml:space="preserve">
0 – no case specified
1 – partial specification, or case is not significant
2 – well specified and significant test case.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</si>
</sst>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12"/>
      <color rgb="FF000000"/>
      <name val="Calibri"/>
      <family val="2"/>
      <scheme val="minor"/>
    </font>
    <font>
      <sz val="11"/>
      <name val="Calibri"/>
      <family val="2"/>
      <scheme val="minor"/>
    </font>
    <font>
      <sz val="12"/>
      <name val="Calibri"/>
      <family val="2"/>
      <scheme val="minor"/>
    </font>
    <font>
      <b/>
      <sz val="11"/>
      <name val="Calibri"/>
      <family val="2"/>
      <scheme val="minor"/>
    </font>
    <font>
      <i/>
      <sz val="11"/>
      <name val="Calibri"/>
      <family val="2"/>
      <scheme val="minor"/>
    </font>
    <font>
      <i/>
      <sz val="12"/>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2" fillId="0" borderId="0" xfId="0" applyFont="1" applyAlignment="1">
      <alignment wrapText="1"/>
    </xf>
    <xf numFmtId="0" fontId="2" fillId="0" borderId="0" xfId="0" applyFont="1"/>
    <xf numFmtId="0" fontId="3" fillId="0" borderId="0" xfId="0" applyFont="1" applyAlignment="1">
      <alignment vertical="top"/>
    </xf>
    <xf numFmtId="0" fontId="3" fillId="0" borderId="0" xfId="0" applyFont="1" applyAlignment="1">
      <alignment vertical="top" wrapText="1"/>
    </xf>
    <xf numFmtId="0" fontId="4" fillId="0" borderId="0" xfId="0" applyFont="1" applyAlignment="1">
      <alignment vertical="top" wrapText="1"/>
    </xf>
    <xf numFmtId="0" fontId="6" fillId="0" borderId="0" xfId="0" applyFont="1" applyAlignment="1">
      <alignment vertical="top"/>
    </xf>
    <xf numFmtId="0" fontId="7" fillId="0" borderId="0" xfId="0" applyFont="1" applyAlignment="1">
      <alignment vertical="top"/>
    </xf>
    <xf numFmtId="0" fontId="0" fillId="0" borderId="0" xfId="0" applyAlignment="1">
      <alignment vertical="top"/>
    </xf>
    <xf numFmtId="0" fontId="1" fillId="0" borderId="0" xfId="0" applyFont="1" applyAlignment="1">
      <alignment vertical="top" wrapText="1"/>
    </xf>
    <xf numFmtId="0" fontId="8" fillId="0" borderId="0" xfId="0" applyFont="1"/>
    <xf numFmtId="0" fontId="1" fillId="0" borderId="0" xfId="0" applyFont="1"/>
  </cellXfs>
  <cellStyles count="1">
    <cellStyle name="Normal" xfId="0" builtinId="0"/>
  </cellStyles>
  <dxfs count="50">
    <dxf>
      <font>
        <b val="0"/>
        <i val="0"/>
        <strike val="0"/>
        <condense val="0"/>
        <extend val="0"/>
        <outline val="0"/>
        <shadow val="0"/>
        <u val="none"/>
        <vertAlign val="baseline"/>
        <sz val="11"/>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top" textRotation="0" wrapText="0" indent="0" justifyLastLine="0" shrinkToFit="0" readingOrder="0"/>
    </dxf>
    <dxf>
      <font>
        <b val="0"/>
        <i/>
        <strike val="0"/>
        <condense val="0"/>
        <extend val="0"/>
        <outline val="0"/>
        <shadow val="0"/>
        <u val="none"/>
        <vertAlign val="baseline"/>
        <sz val="12"/>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top" textRotation="0" wrapText="0" indent="0" justifyLastLine="0" shrinkToFit="0" readingOrder="0"/>
    </dxf>
    <dxf>
      <font>
        <b val="0"/>
        <i/>
        <strike val="0"/>
        <condense val="0"/>
        <extend val="0"/>
        <outline val="0"/>
        <shadow val="0"/>
        <u val="none"/>
        <vertAlign val="baseline"/>
        <sz val="12"/>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top" textRotation="0" wrapText="0" indent="0" justifyLastLine="0" shrinkToFit="0" readingOrder="0"/>
    </dxf>
    <dxf>
      <font>
        <b val="0"/>
        <i/>
        <strike val="0"/>
        <condense val="0"/>
        <extend val="0"/>
        <outline val="0"/>
        <shadow val="0"/>
        <u val="none"/>
        <vertAlign val="baseline"/>
        <sz val="12"/>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top" textRotation="0" wrapText="0" indent="0" justifyLastLine="0" shrinkToFit="0" readingOrder="0"/>
    </dxf>
    <dxf>
      <font>
        <b val="0"/>
        <i/>
        <strike val="0"/>
        <condense val="0"/>
        <extend val="0"/>
        <outline val="0"/>
        <shadow val="0"/>
        <u val="none"/>
        <vertAlign val="baseline"/>
        <sz val="12"/>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top" textRotation="0" wrapText="0" indent="0" justifyLastLine="0" shrinkToFit="0" readingOrder="0"/>
    </dxf>
    <dxf>
      <font>
        <b val="0"/>
        <i/>
        <strike val="0"/>
        <condense val="0"/>
        <extend val="0"/>
        <outline val="0"/>
        <shadow val="0"/>
        <u val="none"/>
        <vertAlign val="baseline"/>
        <sz val="12"/>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top" textRotation="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top" textRotation="0" indent="0" justifyLastLine="0" shrinkToFit="0" readingOrder="0"/>
    </dxf>
    <dxf>
      <font>
        <b val="0"/>
        <i/>
        <strike val="0"/>
        <condense val="0"/>
        <extend val="0"/>
        <outline val="0"/>
        <shadow val="0"/>
        <u val="none"/>
        <vertAlign val="baseline"/>
        <sz val="12"/>
        <color auto="1"/>
        <name val="Calibri"/>
        <family val="2"/>
        <scheme val="minor"/>
      </font>
      <alignment horizontal="general" vertical="top" textRotation="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top" textRotation="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top" textRotation="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top" textRotation="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top" textRotation="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top" textRotation="0" indent="0" justifyLastLine="0" shrinkToFit="0" readingOrder="0"/>
    </dxf>
    <dxf>
      <font>
        <b val="0"/>
        <i/>
        <strike val="0"/>
        <condense val="0"/>
        <extend val="0"/>
        <outline val="0"/>
        <shadow val="0"/>
        <u val="none"/>
        <vertAlign val="baseline"/>
        <sz val="12"/>
        <color auto="1"/>
        <name val="Calibri"/>
        <family val="2"/>
        <scheme val="minor"/>
      </font>
      <alignment horizontal="general" vertical="top" textRotation="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top" textRotation="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top" textRotation="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top" textRotation="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top" textRotation="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top" textRotation="0" indent="0" justifyLastLine="0" shrinkToFit="0" readingOrder="0"/>
    </dxf>
    <dxf>
      <font>
        <b val="0"/>
        <i/>
        <strike val="0"/>
        <condense val="0"/>
        <extend val="0"/>
        <outline val="0"/>
        <shadow val="0"/>
        <u val="none"/>
        <vertAlign val="baseline"/>
        <sz val="12"/>
        <color auto="1"/>
        <name val="Calibri"/>
        <family val="2"/>
        <scheme val="minor"/>
      </font>
      <alignment horizontal="general" vertical="top" textRotation="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top" textRotation="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top" textRotation="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top" textRotation="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top" textRotation="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top" textRotation="0" indent="0" justifyLastLine="0" shrinkToFit="0" readingOrder="0"/>
    </dxf>
    <dxf>
      <font>
        <b val="0"/>
        <i/>
        <strike val="0"/>
        <condense val="0"/>
        <extend val="0"/>
        <outline val="0"/>
        <shadow val="0"/>
        <u val="none"/>
        <vertAlign val="baseline"/>
        <sz val="12"/>
        <color auto="1"/>
        <name val="Calibri"/>
        <family val="2"/>
        <scheme val="minor"/>
      </font>
      <alignment horizontal="general" vertical="top" textRotation="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top" textRotation="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top" textRotation="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top" textRotation="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top" textRotation="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top" textRotation="0" indent="0" justifyLastLine="0" shrinkToFit="0" readingOrder="0"/>
    </dxf>
    <dxf>
      <font>
        <b val="0"/>
        <i/>
        <strike val="0"/>
        <condense val="0"/>
        <extend val="0"/>
        <outline val="0"/>
        <shadow val="0"/>
        <u val="none"/>
        <vertAlign val="baseline"/>
        <sz val="12"/>
        <color auto="1"/>
        <name val="Calibri"/>
        <family val="2"/>
        <scheme val="minor"/>
      </font>
      <alignment horizontal="general" vertical="top" textRotation="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top" textRotation="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top" textRotation="0"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top"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96E2A5-B288-4291-A236-5428489AEE09}" name="Table2" displayName="Table2" ref="B6:E10" totalsRowCount="1" headerRowDxfId="49" dataDxfId="48">
  <autoFilter ref="B6:E9" xr:uid="{4896E2A5-B288-4291-A236-5428489AEE09}"/>
  <tableColumns count="4">
    <tableColumn id="1" xr3:uid="{3147BF28-9910-4826-87ED-28137490F70E}" name="Description" totalsRowLabel="Total" dataDxfId="47" totalsRowDxfId="19"/>
    <tableColumn id="2" xr3:uid="{E7C0F776-D258-4EFC-8C99-CAAF98AE807A}" name="Possible" totalsRowFunction="sum" dataDxfId="46" totalsRowDxfId="18"/>
    <tableColumn id="3" xr3:uid="{B7F823CD-861E-4FC3-8680-F55D311D58C5}" name="Mark" totalsRowFunction="sum" dataDxfId="45" totalsRowDxfId="17"/>
    <tableColumn id="4" xr3:uid="{CA72969C-7B62-440E-994D-3B53DFDD4901}" name="Comments" dataDxfId="44" totalsRowDxfId="16"/>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73F5FEC-C3E8-4403-A0D5-78B408D601BE}" name="Table22" displayName="Table22" ref="B13:E17" totalsRowCount="1" headerRowDxfId="43" dataDxfId="42">
  <autoFilter ref="B13:E16" xr:uid="{173F5FEC-C3E8-4403-A0D5-78B408D601BE}"/>
  <tableColumns count="4">
    <tableColumn id="1" xr3:uid="{E14F5940-556D-479C-A5AB-E4638DEE021C}" name="Description" totalsRowLabel="Total" dataDxfId="41" totalsRowDxfId="15"/>
    <tableColumn id="2" xr3:uid="{554AEBB2-C067-4D64-B41F-5E20E016EEEA}" name="Possible" totalsRowFunction="sum" dataDxfId="40" totalsRowDxfId="14"/>
    <tableColumn id="3" xr3:uid="{7BBE2601-78C3-44A6-A6DF-668A73188A3A}" name="Mark" totalsRowFunction="sum" dataDxfId="39" totalsRowDxfId="13"/>
    <tableColumn id="4" xr3:uid="{83BB13F3-DAA8-481B-AF80-9A120399CB21}" name="Comments" dataDxfId="38" totalsRowDxfId="12"/>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037E3D-BD28-4855-9332-127B7962FF10}" name="Table224" displayName="Table224" ref="B20:E23" totalsRowCount="1" headerRowDxfId="37" dataDxfId="36">
  <autoFilter ref="B20:E22" xr:uid="{67037E3D-BD28-4855-9332-127B7962FF10}"/>
  <tableColumns count="4">
    <tableColumn id="1" xr3:uid="{610899BB-3CDF-4303-A718-FB975D81A67C}" name="Description" totalsRowLabel="Total" dataDxfId="35" totalsRowDxfId="11"/>
    <tableColumn id="2" xr3:uid="{0C673AAC-F3F8-43B6-88A5-FFEE506307B5}" name="Possible" totalsRowFunction="sum" dataDxfId="34" totalsRowDxfId="10"/>
    <tableColumn id="3" xr3:uid="{741DD98E-EE82-48FA-991F-CFC188070113}" name="Mark" totalsRowFunction="sum" dataDxfId="33" totalsRowDxfId="9"/>
    <tableColumn id="4" xr3:uid="{9C8A0817-C2C9-4ECE-AA5B-C30127810991}" name="Comments" dataDxfId="32" totalsRowDxfId="8"/>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AC0D916-CC35-44F7-8728-38F49A2430E0}" name="Table25" displayName="Table25" ref="B26:E29" totalsRowCount="1" headerRowDxfId="31" dataDxfId="30">
  <autoFilter ref="B26:E28" xr:uid="{1AC0D916-CC35-44F7-8728-38F49A2430E0}"/>
  <tableColumns count="4">
    <tableColumn id="1" xr3:uid="{725D2762-95F5-494A-A15C-3913C54B0A24}" name="Description" totalsRowLabel="Total" dataDxfId="29" totalsRowDxfId="7"/>
    <tableColumn id="2" xr3:uid="{B0E49E47-93B2-4D97-9B87-52CE7D74D8B8}" name="Possible" totalsRowFunction="sum" dataDxfId="28" totalsRowDxfId="6"/>
    <tableColumn id="3" xr3:uid="{7112EC34-804F-4DBF-BA40-E42EA19E7A05}" name="Mark" totalsRowFunction="sum" dataDxfId="27" totalsRowDxfId="5"/>
    <tableColumn id="4" xr3:uid="{79829F14-97F8-4DF5-B391-D6A63D99C2DA}" name="Comments" dataDxfId="26" totalsRowDxfId="4"/>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92EACED-7793-4071-A8A7-3C55FACE036E}" name="Table26" displayName="Table26" ref="B32:E38" totalsRowCount="1" headerRowDxfId="25" dataDxfId="24">
  <autoFilter ref="B32:E37" xr:uid="{992EACED-7793-4071-A8A7-3C55FACE036E}"/>
  <tableColumns count="4">
    <tableColumn id="1" xr3:uid="{9DC59335-43BE-4A56-92D9-696810D73415}" name="Description" totalsRowLabel="Total" dataDxfId="23" totalsRowDxfId="3"/>
    <tableColumn id="2" xr3:uid="{9AE37BFB-2BC2-4B84-B9A4-B37415875AC1}" name="Possible" totalsRowFunction="sum" dataDxfId="22" totalsRowDxfId="2"/>
    <tableColumn id="3" xr3:uid="{5139E705-E26A-4EF4-8505-4AE894870DF9}" name="Mark" totalsRowFunction="sum" dataDxfId="21" totalsRowDxfId="1"/>
    <tableColumn id="4" xr3:uid="{612BCB42-9229-4751-9A27-806710532A8B}" name="Comments" dataDxfId="20" totalsRowDxfId="0"/>
  </tableColumns>
  <tableStyleInfo name="TableStyleLight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F51FE-1BE2-4C86-B5A2-2D518DEDDE21}">
  <dimension ref="A1:E47"/>
  <sheetViews>
    <sheetView tabSelected="1" workbookViewId="0">
      <selection activeCell="J37" sqref="J37"/>
    </sheetView>
  </sheetViews>
  <sheetFormatPr defaultRowHeight="15" x14ac:dyDescent="0.25"/>
  <cols>
    <col min="2" max="2" width="66.85546875" customWidth="1"/>
    <col min="5" max="5" width="12.7109375" customWidth="1"/>
  </cols>
  <sheetData>
    <row r="1" spans="1:5" x14ac:dyDescent="0.25">
      <c r="A1" t="s">
        <v>5</v>
      </c>
    </row>
    <row r="3" spans="1:5" x14ac:dyDescent="0.25">
      <c r="B3" s="11" t="s">
        <v>19</v>
      </c>
      <c r="C3">
        <f>SUM(C38,C29,C23,C17,C10)</f>
        <v>50</v>
      </c>
      <c r="D3">
        <f>SUM(D10,D17,D23,D29,D38)</f>
        <v>50</v>
      </c>
    </row>
    <row r="5" spans="1:5" ht="15.75" x14ac:dyDescent="0.25">
      <c r="B5" s="10" t="s">
        <v>6</v>
      </c>
    </row>
    <row r="6" spans="1:5" x14ac:dyDescent="0.25">
      <c r="B6" s="3" t="s">
        <v>0</v>
      </c>
      <c r="C6" s="6" t="s">
        <v>4</v>
      </c>
      <c r="D6" s="3" t="s">
        <v>2</v>
      </c>
      <c r="E6" s="3" t="s">
        <v>3</v>
      </c>
    </row>
    <row r="7" spans="1:5" ht="105" x14ac:dyDescent="0.25">
      <c r="B7" s="4" t="s">
        <v>7</v>
      </c>
      <c r="C7" s="7">
        <v>3</v>
      </c>
      <c r="D7" s="3">
        <v>3</v>
      </c>
      <c r="E7" s="3"/>
    </row>
    <row r="8" spans="1:5" ht="75" x14ac:dyDescent="0.25">
      <c r="B8" s="4" t="s">
        <v>8</v>
      </c>
      <c r="C8" s="7">
        <v>2</v>
      </c>
      <c r="D8" s="3">
        <v>2</v>
      </c>
      <c r="E8" s="3"/>
    </row>
    <row r="9" spans="1:5" ht="135" x14ac:dyDescent="0.25">
      <c r="B9" s="4" t="s">
        <v>9</v>
      </c>
      <c r="C9" s="7">
        <v>5</v>
      </c>
      <c r="D9" s="3">
        <v>5</v>
      </c>
      <c r="E9" s="3"/>
    </row>
    <row r="10" spans="1:5" ht="15.75" x14ac:dyDescent="0.25">
      <c r="B10" s="3" t="s">
        <v>1</v>
      </c>
      <c r="C10" s="7">
        <f>SUBTOTAL(109,Table2[Possible])</f>
        <v>10</v>
      </c>
      <c r="D10" s="3">
        <f>SUBTOTAL(109,Table2[Mark])</f>
        <v>10</v>
      </c>
      <c r="E10" s="3"/>
    </row>
    <row r="11" spans="1:5" ht="15.75" x14ac:dyDescent="0.25">
      <c r="B11" s="1"/>
      <c r="C11" s="2"/>
    </row>
    <row r="12" spans="1:5" ht="15.75" x14ac:dyDescent="0.25">
      <c r="B12" s="10" t="s">
        <v>10</v>
      </c>
    </row>
    <row r="13" spans="1:5" x14ac:dyDescent="0.25">
      <c r="B13" s="3" t="s">
        <v>0</v>
      </c>
      <c r="C13" s="6" t="s">
        <v>4</v>
      </c>
      <c r="D13" s="3" t="s">
        <v>2</v>
      </c>
      <c r="E13" s="3" t="s">
        <v>3</v>
      </c>
    </row>
    <row r="14" spans="1:5" ht="150" x14ac:dyDescent="0.25">
      <c r="B14" s="4" t="s">
        <v>13</v>
      </c>
      <c r="C14" s="7">
        <v>4</v>
      </c>
      <c r="D14" s="3">
        <v>4</v>
      </c>
      <c r="E14" s="3"/>
    </row>
    <row r="15" spans="1:5" ht="105" x14ac:dyDescent="0.25">
      <c r="B15" s="4" t="s">
        <v>12</v>
      </c>
      <c r="C15" s="7">
        <v>3</v>
      </c>
      <c r="D15" s="3">
        <v>3</v>
      </c>
      <c r="E15" s="3"/>
    </row>
    <row r="16" spans="1:5" ht="105" x14ac:dyDescent="0.25">
      <c r="B16" s="4" t="s">
        <v>11</v>
      </c>
      <c r="C16" s="7">
        <v>3</v>
      </c>
      <c r="D16" s="3">
        <v>3</v>
      </c>
      <c r="E16" s="3"/>
    </row>
    <row r="17" spans="2:5" ht="15.75" x14ac:dyDescent="0.25">
      <c r="B17" s="3" t="s">
        <v>1</v>
      </c>
      <c r="C17" s="7">
        <f>SUBTOTAL(109,Table22[Possible])</f>
        <v>10</v>
      </c>
      <c r="D17" s="3">
        <f>SUBTOTAL(109,Table22[Mark])</f>
        <v>10</v>
      </c>
      <c r="E17" s="3"/>
    </row>
    <row r="18" spans="2:5" x14ac:dyDescent="0.25">
      <c r="B18" s="9"/>
      <c r="C18" s="8"/>
      <c r="D18" s="8"/>
      <c r="E18" s="8"/>
    </row>
    <row r="19" spans="2:5" ht="15.75" x14ac:dyDescent="0.25">
      <c r="B19" s="10" t="s">
        <v>14</v>
      </c>
    </row>
    <row r="20" spans="2:5" x14ac:dyDescent="0.25">
      <c r="B20" s="3" t="s">
        <v>0</v>
      </c>
      <c r="C20" s="6" t="s">
        <v>4</v>
      </c>
      <c r="D20" s="3" t="s">
        <v>2</v>
      </c>
      <c r="E20" s="3" t="s">
        <v>3</v>
      </c>
    </row>
    <row r="21" spans="2:5" ht="75" x14ac:dyDescent="0.25">
      <c r="B21" s="4" t="s">
        <v>15</v>
      </c>
      <c r="C21" s="7">
        <v>6</v>
      </c>
      <c r="D21" s="3">
        <v>6</v>
      </c>
      <c r="E21" s="3"/>
    </row>
    <row r="22" spans="2:5" ht="90" x14ac:dyDescent="0.25">
      <c r="B22" s="4" t="s">
        <v>16</v>
      </c>
      <c r="C22" s="7">
        <v>4</v>
      </c>
      <c r="D22" s="3">
        <v>4</v>
      </c>
      <c r="E22" s="3"/>
    </row>
    <row r="23" spans="2:5" ht="15.75" x14ac:dyDescent="0.25">
      <c r="B23" s="3" t="s">
        <v>1</v>
      </c>
      <c r="C23" s="7">
        <f>SUBTOTAL(109,Table224[Possible])</f>
        <v>10</v>
      </c>
      <c r="D23" s="3">
        <f>SUBTOTAL(109,Table224[Mark])</f>
        <v>10</v>
      </c>
      <c r="E23" s="3"/>
    </row>
    <row r="25" spans="2:5" ht="15.75" x14ac:dyDescent="0.25">
      <c r="B25" s="10" t="s">
        <v>17</v>
      </c>
    </row>
    <row r="26" spans="2:5" x14ac:dyDescent="0.25">
      <c r="B26" s="3" t="s">
        <v>0</v>
      </c>
      <c r="C26" s="6" t="s">
        <v>4</v>
      </c>
      <c r="D26" s="3" t="s">
        <v>2</v>
      </c>
      <c r="E26" s="3" t="s">
        <v>3</v>
      </c>
    </row>
    <row r="27" spans="2:5" ht="90" x14ac:dyDescent="0.25">
      <c r="B27" s="4" t="s">
        <v>18</v>
      </c>
      <c r="C27" s="7">
        <v>5</v>
      </c>
      <c r="D27" s="3">
        <v>5</v>
      </c>
      <c r="E27" s="3"/>
    </row>
    <row r="28" spans="2:5" ht="165" x14ac:dyDescent="0.25">
      <c r="B28" s="4" t="s">
        <v>20</v>
      </c>
      <c r="C28" s="7">
        <v>5</v>
      </c>
      <c r="D28" s="3">
        <v>5</v>
      </c>
      <c r="E28" s="3"/>
    </row>
    <row r="29" spans="2:5" ht="15.75" x14ac:dyDescent="0.25">
      <c r="B29" s="3" t="s">
        <v>1</v>
      </c>
      <c r="C29" s="7">
        <f>SUBTOTAL(109,Table25[Possible])</f>
        <v>10</v>
      </c>
      <c r="D29" s="3">
        <f>SUBTOTAL(109,Table25[Mark])</f>
        <v>10</v>
      </c>
      <c r="E29" s="3"/>
    </row>
    <row r="31" spans="2:5" ht="15.75" x14ac:dyDescent="0.25">
      <c r="B31" s="10" t="s">
        <v>21</v>
      </c>
    </row>
    <row r="32" spans="2:5" x14ac:dyDescent="0.25">
      <c r="B32" s="3" t="s">
        <v>0</v>
      </c>
      <c r="C32" s="6" t="s">
        <v>4</v>
      </c>
      <c r="D32" s="3" t="s">
        <v>2</v>
      </c>
      <c r="E32" s="3" t="s">
        <v>3</v>
      </c>
    </row>
    <row r="33" spans="2:5" ht="60" x14ac:dyDescent="0.25">
      <c r="B33" s="4" t="s">
        <v>22</v>
      </c>
      <c r="C33" s="7">
        <v>2</v>
      </c>
      <c r="D33" s="3">
        <v>2</v>
      </c>
      <c r="E33" s="3"/>
    </row>
    <row r="34" spans="2:5" ht="60" x14ac:dyDescent="0.25">
      <c r="B34" s="4" t="s">
        <v>23</v>
      </c>
      <c r="C34" s="7">
        <v>2</v>
      </c>
      <c r="D34" s="3">
        <v>2</v>
      </c>
      <c r="E34" s="3"/>
    </row>
    <row r="35" spans="2:5" ht="60" x14ac:dyDescent="0.25">
      <c r="B35" s="4" t="s">
        <v>24</v>
      </c>
      <c r="C35" s="7">
        <v>2</v>
      </c>
      <c r="D35" s="3">
        <v>2</v>
      </c>
      <c r="E35" s="3"/>
    </row>
    <row r="36" spans="2:5" ht="60" x14ac:dyDescent="0.25">
      <c r="B36" s="4" t="s">
        <v>25</v>
      </c>
      <c r="C36" s="7">
        <v>2</v>
      </c>
      <c r="D36" s="3">
        <v>2</v>
      </c>
      <c r="E36" s="3"/>
    </row>
    <row r="37" spans="2:5" ht="60" x14ac:dyDescent="0.25">
      <c r="B37" s="4" t="s">
        <v>26</v>
      </c>
      <c r="C37" s="7">
        <v>2</v>
      </c>
      <c r="D37" s="3">
        <v>2</v>
      </c>
      <c r="E37" s="3"/>
    </row>
    <row r="38" spans="2:5" ht="15.75" x14ac:dyDescent="0.25">
      <c r="B38" s="3" t="s">
        <v>1</v>
      </c>
      <c r="C38" s="7">
        <f>SUBTOTAL(109,Table26[Possible])</f>
        <v>10</v>
      </c>
      <c r="D38" s="3">
        <f>SUBTOTAL(109,Table26[Mark])</f>
        <v>10</v>
      </c>
      <c r="E38" s="3"/>
    </row>
    <row r="40" spans="2:5" ht="15.75" x14ac:dyDescent="0.25">
      <c r="B40" s="10"/>
    </row>
    <row r="41" spans="2:5" x14ac:dyDescent="0.25">
      <c r="B41" s="3"/>
      <c r="C41" s="6"/>
      <c r="D41" s="3"/>
      <c r="E41" s="3"/>
    </row>
    <row r="42" spans="2:5" ht="15.75" x14ac:dyDescent="0.25">
      <c r="B42" s="4"/>
      <c r="C42" s="7"/>
      <c r="D42" s="3"/>
      <c r="E42" s="3"/>
    </row>
    <row r="43" spans="2:5" ht="15.75" x14ac:dyDescent="0.25">
      <c r="B43" s="4"/>
      <c r="C43" s="7"/>
      <c r="D43" s="3"/>
      <c r="E43" s="3"/>
    </row>
    <row r="44" spans="2:5" ht="15.75" x14ac:dyDescent="0.25">
      <c r="B44" s="4"/>
      <c r="C44" s="7"/>
      <c r="D44" s="3"/>
      <c r="E44" s="3"/>
    </row>
    <row r="45" spans="2:5" ht="15.75" x14ac:dyDescent="0.25">
      <c r="B45" s="4"/>
      <c r="C45" s="7"/>
      <c r="D45" s="3"/>
      <c r="E45" s="3"/>
    </row>
    <row r="46" spans="2:5" ht="15.75" x14ac:dyDescent="0.25">
      <c r="B46" s="5"/>
      <c r="C46" s="7"/>
      <c r="D46" s="3"/>
      <c r="E46" s="3"/>
    </row>
    <row r="47" spans="2:5" ht="15.75" x14ac:dyDescent="0.25">
      <c r="B47" s="3"/>
      <c r="C47" s="7"/>
      <c r="D47" s="3"/>
      <c r="E47" s="3"/>
    </row>
  </sheetData>
  <pageMargins left="0.7" right="0.7" top="0.75" bottom="0.75" header="0.3" footer="0.3"/>
  <tableParts count="5">
    <tablePart r:id="rId1"/>
    <tablePart r:id="rId2"/>
    <tablePart r:id="rId3"/>
    <tablePart r:id="rId4"/>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41176BB098A264FBBD326F6ED0CF02A" ma:contentTypeVersion="8" ma:contentTypeDescription="Create a new document." ma:contentTypeScope="" ma:versionID="974806753b07ca5985a555a65f4dfed8">
  <xsd:schema xmlns:xsd="http://www.w3.org/2001/XMLSchema" xmlns:xs="http://www.w3.org/2001/XMLSchema" xmlns:p="http://schemas.microsoft.com/office/2006/metadata/properties" xmlns:ns2="e3002af3-abb9-49d2-b4e5-779af3e07614" xmlns:ns3="62dc5352-f916-49e5-b3f0-d021e3c1b2be" targetNamespace="http://schemas.microsoft.com/office/2006/metadata/properties" ma:root="true" ma:fieldsID="aebfe7932cb09f3122d5ca51fdede004" ns2:_="" ns3:_="">
    <xsd:import namespace="e3002af3-abb9-49d2-b4e5-779af3e07614"/>
    <xsd:import namespace="62dc5352-f916-49e5-b3f0-d021e3c1b2be"/>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002af3-abb9-49d2-b4e5-779af3e07614"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2dc5352-f916-49e5-b3f0-d021e3c1b2be"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D3608D0-15B3-4A2C-919A-3942A8978B3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3002af3-abb9-49d2-b4e5-779af3e07614"/>
    <ds:schemaRef ds:uri="62dc5352-f916-49e5-b3f0-d021e3c1b2b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9E91156-2252-4921-B732-3096920472EE}">
  <ds:schemaRefs>
    <ds:schemaRef ds:uri="http://schemas.microsoft.com/sharepoint/v3/contenttype/forms"/>
  </ds:schemaRefs>
</ds:datastoreItem>
</file>

<file path=customXml/itemProps3.xml><?xml version="1.0" encoding="utf-8"?>
<ds:datastoreItem xmlns:ds="http://schemas.openxmlformats.org/officeDocument/2006/customXml" ds:itemID="{6D4553F7-60D3-4EB6-BF0A-B24EA7D3581C}">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Melissa Densmore</dc:creator>
  <cp:lastModifiedBy>Aidan Ravenscroft</cp:lastModifiedBy>
  <dcterms:created xsi:type="dcterms:W3CDTF">2021-08-27T08:19:13Z</dcterms:created>
  <dcterms:modified xsi:type="dcterms:W3CDTF">2025-08-21T15:22:01Z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0x010100F41176BB098A264FBBD326F6ED0CF02A</vt:lpwstr>
  </property>
</Properties>
</file>